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https://pcci0-my.sharepoint.com/personal/pshcherbakov339_students_pcci_edu/Documents/SeC_EngineeringDivision_Files/"/>
    </mc:Choice>
  </mc:AlternateContent>
  <xr:revisionPtr revIDLastSave="0" documentId="8_{31476B8D-D463-4D08-9D19-1F7FD0CF55E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 a="1"/>
  <c r="F1" i="1"/>
  <c r="C1" i="1" a="1"/>
  <c r="C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<sst xmlns="http://schemas.openxmlformats.org/spreadsheetml/2006/main" count="171" uniqueCount="129">
  <si>
    <t>Price, Confirmed + Suggested:</t>
  </si>
  <si>
    <t>Price, Confirmed Only:</t>
  </si>
  <si>
    <t>Item Type</t>
  </si>
  <si>
    <t>Status</t>
  </si>
  <si>
    <t>#</t>
  </si>
  <si>
    <t>Price Per</t>
  </si>
  <si>
    <t>Description</t>
  </si>
  <si>
    <t>UPC (ASIN, DigiKey Part Number)</t>
  </si>
  <si>
    <t>Link</t>
  </si>
  <si>
    <t>Datasheet/Documentation</t>
  </si>
  <si>
    <t>Amps</t>
  </si>
  <si>
    <t>Prototyping Wire Connectors (Cheap)</t>
  </si>
  <si>
    <t>Confirmed</t>
  </si>
  <si>
    <t>28-12 AWG</t>
  </si>
  <si>
    <t>B09CKDWK4Q</t>
  </si>
  <si>
    <t>https://a.co/d/brwZZY5</t>
  </si>
  <si>
    <t>Not Needed</t>
  </si>
  <si>
    <t>Suggested</t>
  </si>
  <si>
    <t xml:space="preserve">24-12V Converter </t>
  </si>
  <si>
    <t>10Ah For Drive Motors. Check, will motors be 24v?</t>
  </si>
  <si>
    <t>B08D876FTC</t>
  </si>
  <si>
    <t>https://a.co/d/4CWxMk6</t>
  </si>
  <si>
    <t>Need Peak/Stall/Momentary Current</t>
  </si>
  <si>
    <t>24/12V to 5V Converter</t>
  </si>
  <si>
    <t>10Ah,  To Power all 5V motors</t>
  </si>
  <si>
    <t>B09SD7P92Z</t>
  </si>
  <si>
    <t>https://a.co/d/aOkc2Ap</t>
  </si>
  <si>
    <t>Nope</t>
  </si>
  <si>
    <t xml:space="preserve">24/12V to multi Converter </t>
  </si>
  <si>
    <t>3.3V/5V/9V/12V Buck Converter, 3.5A-5A, To Power Microcontrollers.</t>
  </si>
  <si>
    <t>1738-DFR1015-ND</t>
  </si>
  <si>
    <t>https://www.digikey.com/en/products/detail/dfrobot/DFR1015/18069278</t>
  </si>
  <si>
    <t>Compare</t>
  </si>
  <si>
    <t>DFR0601 Dual Motor Controller</t>
  </si>
  <si>
    <t>Much easer to use than the BTS7960</t>
  </si>
  <si>
    <t>1738-DFR0601-ND</t>
  </si>
  <si>
    <t>https://www.digikey.com/en/products/detail/dfrobot/DFR0601/10279757</t>
  </si>
  <si>
    <t>Philly has it</t>
  </si>
  <si>
    <t>Research</t>
  </si>
  <si>
    <t>Raspberry Pi 5 4GB</t>
  </si>
  <si>
    <t>Main Computer</t>
  </si>
  <si>
    <t>2648-SC1431-ND</t>
  </si>
  <si>
    <t>https://www.digikey.com/short/q23t194w</t>
  </si>
  <si>
    <t>https://mm.digikey.com/Volume0/opasdata/d220001/medias/docus/7156/RP-008348-DS-raspberry-pi-5-product-brief.pdf</t>
  </si>
  <si>
    <t>Raspberry Pi Breakout</t>
  </si>
  <si>
    <t>For prototyping, will likely work for final. Screw-terminal Breakout</t>
  </si>
  <si>
    <t>B0B16SPYXR</t>
  </si>
  <si>
    <t>https://a.co/d/f6Kb5pu</t>
  </si>
  <si>
    <t>Raspberry Pico 2 W</t>
  </si>
  <si>
    <t>Incredible price! Each has 4 Serial Ports.</t>
  </si>
  <si>
    <t>https://www.digikey.com/en/products/detail/raspberry-pi/SC1633/25862726</t>
  </si>
  <si>
    <t>.</t>
  </si>
  <si>
    <t>Pico Breakout Board</t>
  </si>
  <si>
    <t xml:space="preserve"> 1 pack</t>
  </si>
  <si>
    <t>B0B1GRKK5X</t>
  </si>
  <si>
    <t>https://a.co/d/4uPBPUL</t>
  </si>
  <si>
    <t>Screw Terminal Block</t>
  </si>
  <si>
    <t>7 Position</t>
  </si>
  <si>
    <t>1528-1520-ND</t>
  </si>
  <si>
    <t>https://www.digikey.com/en/products/detail/adafruit-industries-llc/737/5774323</t>
  </si>
  <si>
    <t>Not needed</t>
  </si>
  <si>
    <t>Soldering Prototyping Board</t>
  </si>
  <si>
    <t>82 Piece! Would be used to solder custom, final breakout boards.</t>
  </si>
  <si>
    <t>B0D12GZLL9</t>
  </si>
  <si>
    <t>https://a.co/d/9wK8cLc</t>
  </si>
  <si>
    <t>Final Data Wire Connectors</t>
  </si>
  <si>
    <t>JST XH connectors.</t>
  </si>
  <si>
    <t>B0CKZDS8WY</t>
  </si>
  <si>
    <t>https://a.co/d/48xBzB7</t>
  </si>
  <si>
    <t>Data Wire Cnctrs supplement</t>
  </si>
  <si>
    <t>HEADER VERT 2 position 2MM</t>
  </si>
  <si>
    <t>455-BH2B-XH-2-ND</t>
  </si>
  <si>
    <t>https://www.digikey.com/en/products/detail/jst-sales-america-inc/BH2B-XH-2/11656267</t>
  </si>
  <si>
    <t>Header vert 3 position 2mm</t>
  </si>
  <si>
    <t>455-BH3B-XH-2-ND</t>
  </si>
  <si>
    <t>https://www.digikey.com/en/products/detail/jst-sales-america-inc/BH3B-XH-2/4918699</t>
  </si>
  <si>
    <t>Continuous Servos</t>
  </si>
  <si>
    <t>4 pack. Wonderful price, but only need 3 max. But this size is rare.</t>
  </si>
  <si>
    <t>B0DH3KX9TG</t>
  </si>
  <si>
    <t>https://a.co/d/8dmE0bi</t>
  </si>
  <si>
    <t>https://cdn.discordapp.com/attachments/1442394247805407294/1455819537541894145/006089_Data_Sheet_of_TD-8825MG_Digital_Servo_Motor_1.pdf?ex=695e0619&amp;is=695cb499&amp;hm=3379a4506b0565b6549d20f67e3d547caa746389032201d99fb6977daf2351b9&amp;</t>
  </si>
  <si>
    <t>Micro Servos</t>
  </si>
  <si>
    <t>4 pack</t>
  </si>
  <si>
    <t>B0CP98TZJ2</t>
  </si>
  <si>
    <t>https://a.co/d/i1YOCS9</t>
  </si>
  <si>
    <t>https://www.tinytronics.nl/product_files/000263_Data_Sheet_of_MG90S_Analog_Servo_Motor.pdf</t>
  </si>
  <si>
    <t>PCA9546 Serial Port Multiplexer</t>
  </si>
  <si>
    <t>Kind of like a usb hub for I2C sensors.</t>
  </si>
  <si>
    <t>1528-5663-ND</t>
  </si>
  <si>
    <t>https://www.digikey.com/en/products/detail/adafruit-industries-llc/5663/21283814</t>
  </si>
  <si>
    <t>Camera USB C cable</t>
  </si>
  <si>
    <t>2 pack, USB 3.1 Speed, Right Angle</t>
  </si>
  <si>
    <t>B0CLXZHC5R</t>
  </si>
  <si>
    <t>https://a.co/d/0vbX2ZJ</t>
  </si>
  <si>
    <t>VL53L1X ToF Sensor</t>
  </si>
  <si>
    <t>2 pack; 3-200cm range; FOV 25 degrees; i2C; 3.0V-5V at .04Ah max</t>
  </si>
  <si>
    <t>B09LCDTNBM</t>
  </si>
  <si>
    <t>https://a.co/d/3DA363Z</t>
  </si>
  <si>
    <t>Find in Manufacturer Website</t>
  </si>
  <si>
    <t>VL53L4CD ToF Sensor</t>
  </si>
  <si>
    <t>1 pack, 1-120mm range To detect ducks inside robot.</t>
  </si>
  <si>
    <t>1050-ABX00102-ND</t>
  </si>
  <si>
    <t>https://www.digikey.com/en/products/detail/arduino/ABX00102/26744085</t>
  </si>
  <si>
    <t>https://docs.arduino.cc/resources/datasheets/ABX00102-datasheet.pdf</t>
  </si>
  <si>
    <t>TCS34725 Robot Color Sensor</t>
  </si>
  <si>
    <t>2 pack. Startup Sensor/Color Sensor. Comes with prototyping wires!</t>
  </si>
  <si>
    <t>B08SLNXYDZ</t>
  </si>
  <si>
    <t>https://a.co/d/adSrrgU</t>
  </si>
  <si>
    <t>https://www.bing.com/ck/a?!&amp;&amp;p=a075ce0cee0f8c0d8995fb437f06da6fc57aefe911153d007d6a949be0d557abJmltdHM9MTc2NzY1NzYwMA&amp;ptn=3&amp;ver=2&amp;hsh=4&amp;fclid=29b334d6-c9d5-6005-18b3-2026c87461c4&amp;psq=DAOKI+TCS-34725+TCS34725+data+sheet&amp;u=a1aHR0cHM6Ly9jZG4tc2hvcC5hZGFmcnVpdC5jb20vZGF0YXNoZWV0cy9UQ1MzNDcyNS5wZGY</t>
  </si>
  <si>
    <t>Aluminum Extrusion</t>
  </si>
  <si>
    <t>200mm 4pcs</t>
  </si>
  <si>
    <t>B0FKSWCWGH</t>
  </si>
  <si>
    <t>https://a.co/d/isOvPPq</t>
  </si>
  <si>
    <t>Extrusion 90 degree</t>
  </si>
  <si>
    <t>20 pack</t>
  </si>
  <si>
    <t>B084T3PNRM</t>
  </si>
  <si>
    <t>https://a.co/d/bYTcahD</t>
  </si>
  <si>
    <t>Extrusion Gantry</t>
  </si>
  <si>
    <t>2 pack</t>
  </si>
  <si>
    <t xml:space="preserve"> B0BGHM898B</t>
  </si>
  <si>
    <t>https://a.co/d/0VSBxYS</t>
  </si>
  <si>
    <t>M5 Bolts Kit</t>
  </si>
  <si>
    <t>260 pieces, 8-35mm</t>
  </si>
  <si>
    <t xml:space="preserve"> B0DFWDTSBZ</t>
  </si>
  <si>
    <t>https://a.co/d/8B6f8X5</t>
  </si>
  <si>
    <t>M5 Threaded Heat Inserts</t>
  </si>
  <si>
    <t>M5x5x8mm(60Pieces)</t>
  </si>
  <si>
    <t xml:space="preserve"> B0DFWVH73T</t>
  </si>
  <si>
    <t>https://a.co/d/d09stjQ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</si>
</sst>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5" formatCode="&quot;$&quot;#,##0.00"/>
  </numFmts>
  <fonts count="1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theme="4" tint="-0.249977111117893"/>
      <name val="Aptos Narrow"/>
      <family val="2"/>
    </font>
    <font>
      <sz val="11"/>
      <color theme="1"/>
      <name val="Aptos Narrow"/>
      <scheme val="minor"/>
    </font>
    <font>
      <sz val="11"/>
      <color rgb="FF333333"/>
      <name val="Aptos Narrow"/>
      <scheme val="minor"/>
    </font>
    <font>
      <b/>
      <sz val="11"/>
      <color theme="1"/>
      <name val="Aptos Narrow"/>
      <scheme val="minor"/>
    </font>
    <font>
      <sz val="11"/>
      <color rgb="FF444444"/>
      <name val="Aptos Narrow"/>
      <scheme val="minor"/>
    </font>
    <font>
      <sz val="11"/>
      <color theme="4" tint="-0.249977111117893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/>
      <right/>
      <top style="dotted">
        <color theme="0"/>
      </top>
      <bottom style="dotted">
        <color theme="0"/>
      </bottom>
      <diagonal/>
    </border>
    <border>
      <left/>
      <right/>
      <top style="dotted">
        <color theme="0"/>
      </top>
      <bottom style="dotted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medium">
        <color theme="1"/>
      </right>
      <top style="thin">
        <color theme="0"/>
      </top>
      <bottom style="medium">
        <color theme="1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theme="4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2"/>
      </left>
      <right/>
      <top style="thin">
        <color theme="2"/>
      </top>
      <bottom style="thin">
        <color rgb="FF000000"/>
      </bottom>
      <diagonal/>
    </border>
    <border>
      <left/>
      <right/>
      <top style="thin">
        <color theme="2"/>
      </top>
      <bottom style="thin">
        <color rgb="FF000000"/>
      </bottom>
      <diagonal/>
    </border>
    <border>
      <left/>
      <right style="thin">
        <color theme="2"/>
      </right>
      <top style="thin">
        <color theme="2"/>
      </top>
      <bottom style="thin">
        <color rgb="FF000000"/>
      </bottom>
      <diagonal/>
    </border>
    <border>
      <left style="thin">
        <color theme="2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theme="2"/>
      </right>
      <top style="thin">
        <color rgb="FF000000"/>
      </top>
      <bottom style="thin">
        <color rgb="FF000000"/>
      </bottom>
      <diagonal/>
    </border>
    <border>
      <left style="thin">
        <color theme="2"/>
      </left>
      <right/>
      <top style="thin">
        <color rgb="FF000000"/>
      </top>
      <bottom style="thin">
        <color theme="2"/>
      </bottom>
      <diagonal/>
    </border>
    <border>
      <left/>
      <right/>
      <top style="thin">
        <color rgb="FF000000"/>
      </top>
      <bottom style="thin">
        <color theme="2"/>
      </bottom>
      <diagonal/>
    </border>
    <border>
      <left/>
      <right style="thin">
        <color theme="2"/>
      </right>
      <top style="thin">
        <color rgb="FF000000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0" borderId="0" xfId="1" applyAlignment="1">
      <alignment vertical="center"/>
    </xf>
    <xf numFmtId="164" fontId="5" fillId="0" borderId="0" xfId="0" applyNumberFormat="1" applyFont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5" fontId="0" fillId="0" borderId="0" xfId="0" applyNumberForma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0" fontId="1" fillId="0" borderId="12" xfId="0" applyFont="1" applyBorder="1" applyAlignment="1">
      <alignment horizontal="center" wrapText="1" readingOrder="1"/>
    </xf>
    <xf numFmtId="0" fontId="2" fillId="0" borderId="13" xfId="0" applyFont="1" applyBorder="1" applyAlignment="1">
      <alignment horizontal="center" wrapText="1" readingOrder="1"/>
    </xf>
    <xf numFmtId="164" fontId="2" fillId="0" borderId="13" xfId="0" applyNumberFormat="1" applyFont="1" applyBorder="1" applyAlignment="1">
      <alignment horizontal="left" vertical="center" wrapText="1" readingOrder="1"/>
    </xf>
    <xf numFmtId="0" fontId="1" fillId="0" borderId="13" xfId="0" applyFont="1" applyBorder="1" applyAlignment="1">
      <alignment readingOrder="1"/>
    </xf>
    <xf numFmtId="0" fontId="7" fillId="0" borderId="14" xfId="0" applyFont="1" applyBorder="1" applyAlignment="1">
      <alignment readingOrder="1"/>
    </xf>
    <xf numFmtId="0" fontId="0" fillId="0" borderId="0" xfId="0" applyAlignment="1">
      <alignment wrapText="1"/>
    </xf>
    <xf numFmtId="0" fontId="8" fillId="0" borderId="0" xfId="0" applyFont="1"/>
    <xf numFmtId="164" fontId="10" fillId="0" borderId="0" xfId="0" applyNumberFormat="1" applyFont="1" applyAlignment="1">
      <alignment horizontal="center" vertical="center" wrapText="1"/>
    </xf>
    <xf numFmtId="0" fontId="10" fillId="0" borderId="13" xfId="0" applyFont="1" applyBorder="1" applyAlignment="1">
      <alignment readingOrder="1"/>
    </xf>
    <xf numFmtId="0" fontId="10" fillId="0" borderId="0" xfId="0" applyFont="1" applyAlignment="1">
      <alignment vertical="center" wrapText="1"/>
    </xf>
    <xf numFmtId="0" fontId="0" fillId="0" borderId="15" xfId="0" applyBorder="1"/>
    <xf numFmtId="0" fontId="3" fillId="0" borderId="5" xfId="1" applyBorder="1"/>
    <xf numFmtId="0" fontId="9" fillId="0" borderId="0" xfId="0" applyFont="1" applyAlignment="1">
      <alignment vertical="center"/>
    </xf>
    <xf numFmtId="0" fontId="0" fillId="0" borderId="17" xfId="0" applyBorder="1" applyAlignment="1">
      <alignment vertical="center" wrapText="1"/>
    </xf>
    <xf numFmtId="0" fontId="9" fillId="0" borderId="17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0" fillId="0" borderId="19" xfId="0" applyBorder="1" applyAlignment="1">
      <alignment horizontal="center" vertical="center" wrapText="1"/>
    </xf>
    <xf numFmtId="165" fontId="0" fillId="0" borderId="19" xfId="0" applyNumberFormat="1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9" fillId="0" borderId="19" xfId="0" applyFont="1" applyBorder="1" applyAlignment="1">
      <alignment vertical="center"/>
    </xf>
    <xf numFmtId="0" fontId="11" fillId="2" borderId="19" xfId="0" applyFont="1" applyFill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8" fillId="0" borderId="19" xfId="0" applyFont="1" applyBorder="1" applyAlignment="1">
      <alignment vertical="center"/>
    </xf>
    <xf numFmtId="0" fontId="0" fillId="0" borderId="19" xfId="0" applyBorder="1" applyAlignment="1">
      <alignment vertical="center"/>
    </xf>
    <xf numFmtId="0" fontId="3" fillId="0" borderId="19" xfId="1" applyBorder="1" applyAlignment="1">
      <alignment vertical="center" wrapText="1"/>
    </xf>
    <xf numFmtId="0" fontId="0" fillId="0" borderId="20" xfId="0" applyBorder="1" applyAlignment="1">
      <alignment horizontal="center" vertical="center" wrapText="1"/>
    </xf>
    <xf numFmtId="165" fontId="0" fillId="0" borderId="21" xfId="0" applyNumberFormat="1" applyBorder="1" applyAlignment="1">
      <alignment horizontal="center" vertical="center" wrapText="1"/>
    </xf>
    <xf numFmtId="0" fontId="0" fillId="0" borderId="21" xfId="0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3" fillId="0" borderId="22" xfId="1" applyBorder="1" applyAlignment="1">
      <alignment vertical="center"/>
    </xf>
    <xf numFmtId="0" fontId="0" fillId="0" borderId="23" xfId="0" applyBorder="1" applyAlignment="1">
      <alignment horizontal="center" vertical="center" wrapText="1"/>
    </xf>
    <xf numFmtId="0" fontId="3" fillId="0" borderId="24" xfId="1" applyBorder="1" applyAlignment="1">
      <alignment vertical="center"/>
    </xf>
    <xf numFmtId="0" fontId="0" fillId="0" borderId="25" xfId="0" applyBorder="1" applyAlignment="1">
      <alignment horizontal="center" vertical="center" wrapText="1"/>
    </xf>
    <xf numFmtId="165" fontId="0" fillId="0" borderId="26" xfId="0" applyNumberFormat="1" applyBorder="1" applyAlignment="1">
      <alignment horizontal="center" vertical="center" wrapText="1"/>
    </xf>
    <xf numFmtId="0" fontId="0" fillId="0" borderId="26" xfId="0" applyBorder="1" applyAlignment="1">
      <alignment vertical="center" wrapText="1"/>
    </xf>
    <xf numFmtId="0" fontId="3" fillId="0" borderId="27" xfId="1" applyBorder="1" applyAlignment="1">
      <alignment vertical="center"/>
    </xf>
    <xf numFmtId="0" fontId="0" fillId="0" borderId="28" xfId="0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9" fillId="0" borderId="29" xfId="0" applyFont="1" applyBorder="1" applyAlignment="1">
      <alignment vertical="center"/>
    </xf>
    <xf numFmtId="164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5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0" fillId="0" borderId="16" xfId="0" applyBorder="1" applyAlignment="1">
      <alignment horizontal="center" wrapText="1"/>
    </xf>
    <xf numFmtId="0" fontId="8" fillId="0" borderId="23" xfId="0" applyFont="1" applyBorder="1" applyAlignment="1">
      <alignment vertical="center" wrapText="1"/>
    </xf>
    <xf numFmtId="0" fontId="13" fillId="0" borderId="19" xfId="0" applyFont="1" applyBorder="1" applyAlignment="1">
      <alignment vertical="center"/>
    </xf>
    <xf numFmtId="0" fontId="13" fillId="0" borderId="26" xfId="0" applyFont="1" applyBorder="1" applyAlignment="1">
      <alignment vertical="center"/>
    </xf>
    <xf numFmtId="0" fontId="14" fillId="0" borderId="4" xfId="0" applyFont="1" applyBorder="1"/>
    <xf numFmtId="0" fontId="14" fillId="0" borderId="5" xfId="0" applyFont="1" applyBorder="1"/>
    <xf numFmtId="0" fontId="14" fillId="0" borderId="6" xfId="0" applyFont="1" applyBorder="1"/>
    <xf numFmtId="0" fontId="14" fillId="0" borderId="7" xfId="0" applyFont="1" applyBorder="1"/>
    <xf numFmtId="0" fontId="14" fillId="0" borderId="0" xfId="0" applyFont="1"/>
    <xf numFmtId="0" fontId="3" fillId="0" borderId="4" xfId="1" applyBorder="1"/>
    <xf numFmtId="0" fontId="15" fillId="0" borderId="24" xfId="1" applyFont="1" applyBorder="1" applyAlignment="1">
      <alignment vertical="center"/>
    </xf>
  </cellXfs>
  <cellStyles count="2">
    <cellStyle name="Hyperlink" xfId="1" builtinId="8"/>
    <cellStyle name="Normal" xfId="0" builtinId="0"/>
  </cellStyles>
  <dxfs count="22">
    <dxf>
      <alignment horizontal="general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&quot;$&quot;#,##0.00"/>
      <alignment horizontal="center" vertical="center" textRotation="0" wrapText="1" relativeIndent="-1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rgb="FFFFF38A"/>
          <bgColor indexed="65"/>
        </patternFill>
      </fill>
    </dxf>
    <dxf>
      <border outline="0">
        <bottom style="thin">
          <color rgb="FF000000"/>
        </bottom>
      </border>
    </dxf>
    <dxf>
      <border outline="0">
        <top style="thin">
          <color rgb="FFCCCCCC"/>
        </top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color theme="1"/>
      </font>
      <fill>
        <patternFill patternType="solid">
          <bgColor rgb="FFFFCCCC"/>
        </patternFill>
      </fill>
    </dxf>
    <dxf>
      <font>
        <color theme="1"/>
      </font>
      <fill>
        <patternFill patternType="solid">
          <bgColor rgb="FFFFF38A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theme="1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CCC"/>
        </patternFill>
      </fill>
    </dxf>
    <dxf>
      <font>
        <color theme="1"/>
      </font>
      <fill>
        <patternFill patternType="solid">
          <bgColor rgb="FFFFF38A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theme="1"/>
      </font>
      <fill>
        <patternFill patternType="solid">
          <bgColor theme="5" tint="0.79998168889431442"/>
        </patternFill>
      </fill>
    </dxf>
  </dxfs>
  <tableStyles count="0" defaultTableStyle="TableStyleMedium2" defaultPivotStyle="PivotStyleMedium9"/>
  <colors>
    <mruColors>
      <color rgb="FFFFF38A"/>
      <color rgb="FFF5EB90"/>
      <color rgb="FFFFCCCC"/>
      <color rgb="FFFFF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5AF2F7-6550-452F-9601-941BBF20A636}" name="Table2" displayName="Table2" ref="B2:H29" totalsRowShown="0" headerRowDxfId="11" dataDxfId="10" headerRowBorderDxfId="8" tableBorderDxfId="9">
  <autoFilter ref="B2:H29" xr:uid="{645AF2F7-6550-452F-9601-941BBF20A636}"/>
  <sortState xmlns:xlrd2="http://schemas.microsoft.com/office/spreadsheetml/2017/richdata2" ref="B3:H29">
    <sortCondition sortBy="cellColor" ref="C2" dxfId="7"/>
  </sortState>
  <tableColumns count="7">
    <tableColumn id="1" xr3:uid="{14105D42-7481-44B4-BC97-0030B683E473}" name="Item Type" dataDxfId="6"/>
    <tableColumn id="2" xr3:uid="{DE264CBE-A815-4CE6-B2E7-B7364A6247DE}" name="Status" dataDxfId="5"/>
    <tableColumn id="7" xr3:uid="{FA656267-D446-459A-BBBE-BC1972A84F01}" name="#" dataDxfId="4"/>
    <tableColumn id="5" xr3:uid="{71BD96F4-B1AD-4066-A25C-CD6B2D361726}" name="Price Per" dataDxfId="3"/>
    <tableColumn id="4" xr3:uid="{4E4BB05D-29F4-4524-81F1-F5D658403E38}" name="Description" dataDxfId="2"/>
    <tableColumn id="3" xr3:uid="{58550634-868C-4A64-8A30-BAFD96C41ED9}" name="UPC (ASIN, DigiKey Part Number)" dataDxfId="1"/>
    <tableColumn id="6" xr3:uid="{571E6E56-804B-42B5-B6F6-429633A15DCD}" name="Link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raspberry-pi/SC1633/25862726" TargetMode="External"/><Relationship Id="rId13" Type="http://schemas.openxmlformats.org/officeDocument/2006/relationships/hyperlink" Target="https://a.co/d/i1YOCS9" TargetMode="External"/><Relationship Id="rId18" Type="http://schemas.openxmlformats.org/officeDocument/2006/relationships/hyperlink" Target="https://a.co/d/8dmE0bi" TargetMode="External"/><Relationship Id="rId26" Type="http://schemas.openxmlformats.org/officeDocument/2006/relationships/hyperlink" Target="https://mm.digikey.com/Volume0/opasdata/d220001/medias/docus/7156/RP-008348-DS-raspberry-pi-5-product-brief.pdf" TargetMode="External"/><Relationship Id="rId3" Type="http://schemas.openxmlformats.org/officeDocument/2006/relationships/hyperlink" Target="https://a.co/d/bYTcahD" TargetMode="External"/><Relationship Id="rId21" Type="http://schemas.openxmlformats.org/officeDocument/2006/relationships/hyperlink" Target="https://a.co/d/f6Kb5pu" TargetMode="External"/><Relationship Id="rId7" Type="http://schemas.openxmlformats.org/officeDocument/2006/relationships/hyperlink" Target="https://www.digikey.com/en/products/detail/dfrobot/DFR1015/18069278" TargetMode="External"/><Relationship Id="rId12" Type="http://schemas.openxmlformats.org/officeDocument/2006/relationships/hyperlink" Target="https://a.co/d/9wK8cLc" TargetMode="External"/><Relationship Id="rId17" Type="http://schemas.openxmlformats.org/officeDocument/2006/relationships/hyperlink" Target="https://www.digikey.com/short/q23t194w" TargetMode="External"/><Relationship Id="rId25" Type="http://schemas.openxmlformats.org/officeDocument/2006/relationships/hyperlink" Target="https://www.digikey.com/en/products/detail/dfrobot/DFR0601/10279757" TargetMode="External"/><Relationship Id="rId2" Type="http://schemas.openxmlformats.org/officeDocument/2006/relationships/hyperlink" Target="https://a.co/d/isOvPPq" TargetMode="External"/><Relationship Id="rId16" Type="http://schemas.openxmlformats.org/officeDocument/2006/relationships/hyperlink" Target="https://a.co/d/d09stjQ" TargetMode="External"/><Relationship Id="rId20" Type="http://schemas.openxmlformats.org/officeDocument/2006/relationships/hyperlink" Target="https://www.digikey.com/en/products/detail/adafruit-industries-llc/737/5774323" TargetMode="External"/><Relationship Id="rId29" Type="http://schemas.openxmlformats.org/officeDocument/2006/relationships/hyperlink" Target="https://cdn.discordapp.com/attachments/1442394247805407294/1455819537541894145/006089_Data_Sheet_of_TD-8825MG_Digital_Servo_Motor_1.pdf?ex=695e0619&amp;is=695cb499&amp;hm=3379a4506b0565b6549d20f67e3d547caa746389032201d99fb6977daf2351b9" TargetMode="External"/><Relationship Id="rId1" Type="http://schemas.openxmlformats.org/officeDocument/2006/relationships/hyperlink" Target="https://a.co/d/brwZZY5" TargetMode="External"/><Relationship Id="rId6" Type="http://schemas.openxmlformats.org/officeDocument/2006/relationships/hyperlink" Target="https://a.co/d/aOkc2Ap" TargetMode="External"/><Relationship Id="rId11" Type="http://schemas.openxmlformats.org/officeDocument/2006/relationships/hyperlink" Target="https://a.co/d/48xBzB7" TargetMode="External"/><Relationship Id="rId24" Type="http://schemas.openxmlformats.org/officeDocument/2006/relationships/hyperlink" Target="https://a.co/d/0VSBxYS" TargetMode="External"/><Relationship Id="rId32" Type="http://schemas.openxmlformats.org/officeDocument/2006/relationships/table" Target="../tables/table1.xml"/><Relationship Id="rId5" Type="http://schemas.openxmlformats.org/officeDocument/2006/relationships/hyperlink" Target="https://a.co/d/4CWxMk6" TargetMode="External"/><Relationship Id="rId15" Type="http://schemas.openxmlformats.org/officeDocument/2006/relationships/hyperlink" Target="https://www.digikey.com/en/products/detail/jst-sales-america-inc/BH3B-XH-2/4918699" TargetMode="External"/><Relationship Id="rId23" Type="http://schemas.openxmlformats.org/officeDocument/2006/relationships/hyperlink" Target="https://www.digikey.com/en/products/detail/arduino/ABX00102/26744085" TargetMode="External"/><Relationship Id="rId28" Type="http://schemas.openxmlformats.org/officeDocument/2006/relationships/hyperlink" Target="https://www.bing.com/ck/a?!&amp;&amp;p=a075ce0cee0f8c0d8995fb437f06da6fc57aefe911153d007d6a949be0d557abJmltdHM9MTc2NzY1NzYwMA&amp;ptn=3&amp;ver=2&amp;hsh=4&amp;fclid=29b334d6-c9d5-6005-18b3-2026c87461c4&amp;psq=DAOKI+TCS-34725+TCS34725+data+sheet&amp;u=a1aHR0cHM6Ly9jZG4tc2hvcC5hZGFmcnVpdC5jb20vZGF0YXNoZWV0cy9UQ1MzNDcyNS5wZGY" TargetMode="External"/><Relationship Id="rId10" Type="http://schemas.openxmlformats.org/officeDocument/2006/relationships/hyperlink" Target="https://www.digikey.com/en/products/detail/adafruit-industries-llc/5663/21283814" TargetMode="External"/><Relationship Id="rId19" Type="http://schemas.openxmlformats.org/officeDocument/2006/relationships/hyperlink" Target="https://a.co/d/3DA363Z" TargetMode="External"/><Relationship Id="rId31" Type="http://schemas.openxmlformats.org/officeDocument/2006/relationships/hyperlink" Target="https://a.co/d/adSrrgU" TargetMode="External"/><Relationship Id="rId4" Type="http://schemas.openxmlformats.org/officeDocument/2006/relationships/hyperlink" Target="https://a.co/d/8B6f8X5" TargetMode="External"/><Relationship Id="rId9" Type="http://schemas.openxmlformats.org/officeDocument/2006/relationships/hyperlink" Target="https://a.co/d/4uPBPUL" TargetMode="External"/><Relationship Id="rId14" Type="http://schemas.openxmlformats.org/officeDocument/2006/relationships/hyperlink" Target="https://www.digikey.com/en/products/detail/jst-sales-america-inc/BH2B-XH-2/11656267" TargetMode="External"/><Relationship Id="rId22" Type="http://schemas.openxmlformats.org/officeDocument/2006/relationships/hyperlink" Target="https://a.co/d/0vbX2ZJ" TargetMode="External"/><Relationship Id="rId27" Type="http://schemas.openxmlformats.org/officeDocument/2006/relationships/hyperlink" Target="https://www.tinytronics.nl/product_files/000263_Data_Sheet_of_MG90S_Analog_Servo_Motor.pdf" TargetMode="External"/><Relationship Id="rId30" Type="http://schemas.openxmlformats.org/officeDocument/2006/relationships/hyperlink" Target="https://docs.arduino.cc/resources/datasheets/ABX00102-datashee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showGridLines="0" showRowColHeaders="0" tabSelected="1" workbookViewId="0">
      <pane ySplit="2" topLeftCell="A22" activePane="bottomLeft" state="frozen"/>
      <selection pane="bottomLeft" activeCell="G30" sqref="G30"/>
      <selection activeCell="G1" sqref="G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0" customHeight="1" zeroHeight="1"/>
  <cols>
    <col min="1" max="1" width="9.140625" customWidth="1"/>
    <col min="2" max="2" width="17.28515625" style="4" customWidth="1"/>
    <col min="3" max="3" width="12.5703125" style="4" customWidth="1"/>
    <col min="4" max="4" width="7.42578125" style="4" customWidth="1"/>
    <col min="5" max="5" width="13.140625" style="3" customWidth="1"/>
    <col min="6" max="6" width="31.42578125" customWidth="1"/>
    <col min="7" max="7" width="19.5703125" style="26" customWidth="1"/>
    <col min="8" max="8" width="25.140625" customWidth="1"/>
    <col min="9" max="9" width="25" customWidth="1"/>
    <col min="10" max="10" width="20.5703125" customWidth="1"/>
    <col min="11" max="11" width="9.140625" customWidth="1"/>
    <col min="12" max="12" width="15.42578125" customWidth="1"/>
  </cols>
  <sheetData>
    <row r="1" spans="1:12" s="2" customFormat="1" ht="27.75" customHeight="1">
      <c r="B1" s="18" t="s">
        <v>0</v>
      </c>
      <c r="C1" s="6" cm="1">
        <f t="array" ref="C1">SUMPRODUCT(
  --(((C3:C29="Suggested") + (C3:C29="Confirmed"))&gt;0),
  --(ISNUMBER(D3:D29)),
  --(ISNUMBER(E3:E29)),
  D3:D29,
  E3:E29
)</f>
        <v>360.7</v>
      </c>
      <c r="E1" s="19" t="s">
        <v>1</v>
      </c>
      <c r="F1" s="6" cm="1">
        <f t="array" ref="F1">SUMPRODUCT(
  --(TRIM(C3:C29)="Confirmed"),
  --(ISNUMBER(D3:D29)),
  --(ISNUMBER(E3:E29)),
  D3:D29,
  E3:E29
)</f>
        <v>360.7</v>
      </c>
      <c r="G1" s="27"/>
      <c r="H1" s="62"/>
    </row>
    <row r="2" spans="1:12" ht="15">
      <c r="A2" s="7"/>
      <c r="B2" s="20" t="s">
        <v>2</v>
      </c>
      <c r="C2" s="21" t="s">
        <v>3</v>
      </c>
      <c r="D2" s="21" t="s">
        <v>4</v>
      </c>
      <c r="E2" s="22" t="s">
        <v>5</v>
      </c>
      <c r="F2" s="23" t="s">
        <v>6</v>
      </c>
      <c r="G2" s="28" t="s">
        <v>7</v>
      </c>
      <c r="H2" s="23" t="s">
        <v>8</v>
      </c>
      <c r="I2" s="24" t="s">
        <v>9</v>
      </c>
      <c r="J2" s="10" t="s">
        <v>10</v>
      </c>
      <c r="K2" s="11"/>
    </row>
    <row r="3" spans="1:12" ht="30" customHeight="1">
      <c r="A3" s="7"/>
      <c r="B3" s="57" t="s">
        <v>11</v>
      </c>
      <c r="C3" s="56" t="s">
        <v>12</v>
      </c>
      <c r="D3" s="36">
        <v>1</v>
      </c>
      <c r="E3" s="37">
        <v>10</v>
      </c>
      <c r="F3" s="38" t="s">
        <v>13</v>
      </c>
      <c r="G3" s="39" t="s">
        <v>14</v>
      </c>
      <c r="H3" s="51" t="s">
        <v>15</v>
      </c>
      <c r="I3" s="66" t="s">
        <v>16</v>
      </c>
      <c r="J3" s="10"/>
      <c r="K3" s="11"/>
      <c r="L3" s="14" t="s">
        <v>17</v>
      </c>
    </row>
    <row r="4" spans="1:12" ht="30" customHeight="1">
      <c r="A4" s="7"/>
      <c r="B4" s="50" t="s">
        <v>18</v>
      </c>
      <c r="C4" s="56" t="s">
        <v>12</v>
      </c>
      <c r="D4" s="36">
        <v>1</v>
      </c>
      <c r="E4" s="37">
        <v>13</v>
      </c>
      <c r="F4" s="33" t="s">
        <v>19</v>
      </c>
      <c r="G4" s="34" t="s">
        <v>20</v>
      </c>
      <c r="H4" s="51" t="s">
        <v>21</v>
      </c>
      <c r="I4" s="9" t="s">
        <v>22</v>
      </c>
      <c r="J4" s="10"/>
      <c r="K4" s="11"/>
      <c r="L4" s="15" t="s">
        <v>12</v>
      </c>
    </row>
    <row r="5" spans="1:12" ht="30" customHeight="1">
      <c r="A5" s="7"/>
      <c r="B5" s="50" t="s">
        <v>23</v>
      </c>
      <c r="C5" s="56" t="s">
        <v>12</v>
      </c>
      <c r="D5" s="36">
        <v>1</v>
      </c>
      <c r="E5" s="37">
        <v>13</v>
      </c>
      <c r="F5" s="58" t="s">
        <v>24</v>
      </c>
      <c r="G5" s="61" t="s">
        <v>25</v>
      </c>
      <c r="H5" s="51" t="s">
        <v>26</v>
      </c>
      <c r="I5" s="9" t="s">
        <v>22</v>
      </c>
      <c r="J5" s="10"/>
      <c r="K5" s="11"/>
      <c r="L5" s="15" t="s">
        <v>27</v>
      </c>
    </row>
    <row r="6" spans="1:12" ht="30" customHeight="1">
      <c r="A6" s="7"/>
      <c r="B6" s="50" t="s">
        <v>28</v>
      </c>
      <c r="C6" s="56" t="s">
        <v>12</v>
      </c>
      <c r="D6" s="36">
        <v>2</v>
      </c>
      <c r="E6" s="37">
        <v>5</v>
      </c>
      <c r="F6" s="59" t="s">
        <v>29</v>
      </c>
      <c r="G6" s="59" t="s">
        <v>30</v>
      </c>
      <c r="H6" s="51" t="s">
        <v>31</v>
      </c>
      <c r="I6" s="9" t="s">
        <v>22</v>
      </c>
      <c r="J6" s="10"/>
      <c r="K6" s="11"/>
      <c r="L6" s="15" t="s">
        <v>32</v>
      </c>
    </row>
    <row r="7" spans="1:12" ht="30" customHeight="1">
      <c r="A7" s="7"/>
      <c r="B7" s="50" t="s">
        <v>33</v>
      </c>
      <c r="C7" s="56" t="s">
        <v>12</v>
      </c>
      <c r="D7" s="36">
        <v>1</v>
      </c>
      <c r="E7" s="37">
        <v>29</v>
      </c>
      <c r="F7" s="59" t="s">
        <v>34</v>
      </c>
      <c r="G7" s="67" t="s">
        <v>35</v>
      </c>
      <c r="H7" s="51" t="s">
        <v>36</v>
      </c>
      <c r="I7" s="9" t="s">
        <v>37</v>
      </c>
      <c r="J7" s="10"/>
      <c r="K7" s="11"/>
      <c r="L7" s="15" t="s">
        <v>38</v>
      </c>
    </row>
    <row r="8" spans="1:12" ht="30" customHeight="1">
      <c r="A8" s="7"/>
      <c r="B8" s="50" t="s">
        <v>39</v>
      </c>
      <c r="C8" s="56" t="s">
        <v>12</v>
      </c>
      <c r="D8" s="36">
        <v>1</v>
      </c>
      <c r="E8" s="37">
        <v>64</v>
      </c>
      <c r="F8" s="60" t="s">
        <v>40</v>
      </c>
      <c r="G8" s="60" t="s">
        <v>41</v>
      </c>
      <c r="H8" s="51" t="s">
        <v>42</v>
      </c>
      <c r="I8" s="75" t="s">
        <v>43</v>
      </c>
      <c r="J8" s="10"/>
      <c r="K8" s="11"/>
      <c r="L8" s="16"/>
    </row>
    <row r="9" spans="1:12" ht="30" customHeight="1">
      <c r="A9" s="7"/>
      <c r="B9" s="50" t="s">
        <v>44</v>
      </c>
      <c r="C9" s="56" t="s">
        <v>12</v>
      </c>
      <c r="D9" s="36">
        <v>1</v>
      </c>
      <c r="E9" s="37">
        <v>10</v>
      </c>
      <c r="F9" s="38" t="s">
        <v>45</v>
      </c>
      <c r="G9" s="38" t="s">
        <v>46</v>
      </c>
      <c r="H9" s="76" t="s">
        <v>47</v>
      </c>
      <c r="I9" s="9"/>
      <c r="J9" s="10"/>
      <c r="K9" s="11"/>
      <c r="L9" s="30"/>
    </row>
    <row r="10" spans="1:12" ht="30" customHeight="1">
      <c r="A10" s="7"/>
      <c r="B10" s="50" t="s">
        <v>48</v>
      </c>
      <c r="C10" s="56" t="s">
        <v>12</v>
      </c>
      <c r="D10" s="36">
        <v>2</v>
      </c>
      <c r="E10" s="37">
        <v>7</v>
      </c>
      <c r="F10" s="38" t="s">
        <v>49</v>
      </c>
      <c r="G10" s="38" t="s">
        <v>41</v>
      </c>
      <c r="H10" s="51" t="s">
        <v>50</v>
      </c>
      <c r="I10" s="9" t="s">
        <v>51</v>
      </c>
      <c r="J10" s="10"/>
      <c r="K10" s="11"/>
      <c r="L10" s="10"/>
    </row>
    <row r="11" spans="1:12" ht="30" customHeight="1">
      <c r="A11" s="7"/>
      <c r="B11" s="50" t="s">
        <v>52</v>
      </c>
      <c r="C11" s="56" t="s">
        <v>12</v>
      </c>
      <c r="D11" s="36">
        <v>1</v>
      </c>
      <c r="E11" s="37">
        <v>9</v>
      </c>
      <c r="F11" s="38" t="s">
        <v>53</v>
      </c>
      <c r="G11" s="35" t="s">
        <v>54</v>
      </c>
      <c r="H11" s="51" t="s">
        <v>55</v>
      </c>
      <c r="I11" s="9" t="s">
        <v>16</v>
      </c>
      <c r="J11" s="10"/>
      <c r="K11" s="11"/>
      <c r="L11" s="10"/>
    </row>
    <row r="12" spans="1:12" ht="30" customHeight="1">
      <c r="A12" s="7"/>
      <c r="B12" s="50" t="s">
        <v>56</v>
      </c>
      <c r="C12" s="56" t="s">
        <v>12</v>
      </c>
      <c r="D12" s="45">
        <v>1</v>
      </c>
      <c r="E12" s="46">
        <v>1.95</v>
      </c>
      <c r="F12" s="47" t="s">
        <v>57</v>
      </c>
      <c r="G12" s="48" t="s">
        <v>58</v>
      </c>
      <c r="H12" s="49" t="s">
        <v>59</v>
      </c>
      <c r="I12" s="9" t="s">
        <v>60</v>
      </c>
      <c r="J12" s="10"/>
      <c r="K12" s="11"/>
      <c r="L12" s="10"/>
    </row>
    <row r="13" spans="1:12" ht="30" customHeight="1">
      <c r="A13" s="7"/>
      <c r="B13" s="25" t="s">
        <v>61</v>
      </c>
      <c r="C13" s="56" t="s">
        <v>12</v>
      </c>
      <c r="D13" s="2">
        <v>1</v>
      </c>
      <c r="E13" s="17">
        <v>8</v>
      </c>
      <c r="F13" s="1" t="s">
        <v>62</v>
      </c>
      <c r="G13" s="32" t="s">
        <v>63</v>
      </c>
      <c r="H13" s="5" t="s">
        <v>64</v>
      </c>
      <c r="I13" s="9" t="s">
        <v>60</v>
      </c>
      <c r="J13" s="10"/>
      <c r="K13" s="11"/>
      <c r="L13" s="10"/>
    </row>
    <row r="14" spans="1:12" ht="30" customHeight="1">
      <c r="A14" s="7"/>
      <c r="B14" s="50" t="s">
        <v>65</v>
      </c>
      <c r="C14" s="56" t="s">
        <v>12</v>
      </c>
      <c r="D14" s="50">
        <v>1</v>
      </c>
      <c r="E14" s="37">
        <v>19</v>
      </c>
      <c r="F14" s="38" t="s">
        <v>66</v>
      </c>
      <c r="G14" s="42" t="s">
        <v>67</v>
      </c>
      <c r="H14" s="51" t="s">
        <v>68</v>
      </c>
      <c r="I14" s="9" t="s">
        <v>16</v>
      </c>
      <c r="J14" s="10"/>
      <c r="K14" s="11"/>
      <c r="L14" s="10"/>
    </row>
    <row r="15" spans="1:12" ht="30" customHeight="1">
      <c r="A15" s="7"/>
      <c r="B15" s="50" t="s">
        <v>69</v>
      </c>
      <c r="C15" s="56" t="s">
        <v>12</v>
      </c>
      <c r="D15" s="50">
        <v>10</v>
      </c>
      <c r="E15" s="37">
        <v>0.16900000000000001</v>
      </c>
      <c r="F15" s="38" t="s">
        <v>70</v>
      </c>
      <c r="G15" s="42" t="s">
        <v>71</v>
      </c>
      <c r="H15" s="51" t="s">
        <v>72</v>
      </c>
      <c r="I15" s="9" t="s">
        <v>16</v>
      </c>
      <c r="J15" s="10"/>
      <c r="K15" s="11"/>
      <c r="L15" s="10"/>
    </row>
    <row r="16" spans="1:12" ht="30" customHeight="1">
      <c r="A16" s="7"/>
      <c r="B16" s="50" t="s">
        <v>69</v>
      </c>
      <c r="C16" s="56" t="s">
        <v>12</v>
      </c>
      <c r="D16" s="50">
        <v>10</v>
      </c>
      <c r="E16" s="37">
        <v>0.20599999999999999</v>
      </c>
      <c r="F16" s="38" t="s">
        <v>73</v>
      </c>
      <c r="G16" s="42" t="s">
        <v>74</v>
      </c>
      <c r="H16" s="51" t="s">
        <v>75</v>
      </c>
      <c r="I16" s="9" t="s">
        <v>16</v>
      </c>
      <c r="J16" s="10"/>
      <c r="K16" s="11"/>
      <c r="L16" s="10"/>
    </row>
    <row r="17" spans="1:12" ht="30" customHeight="1">
      <c r="A17" s="7"/>
      <c r="B17" s="50" t="s">
        <v>76</v>
      </c>
      <c r="C17" s="56" t="s">
        <v>12</v>
      </c>
      <c r="D17" s="50">
        <v>1</v>
      </c>
      <c r="E17" s="37">
        <v>42</v>
      </c>
      <c r="F17" s="38" t="s">
        <v>77</v>
      </c>
      <c r="G17" s="39" t="s">
        <v>78</v>
      </c>
      <c r="H17" s="51" t="s">
        <v>79</v>
      </c>
      <c r="I17" s="75" t="s">
        <v>80</v>
      </c>
      <c r="J17" s="10"/>
      <c r="K17" s="11"/>
      <c r="L17" s="10"/>
    </row>
    <row r="18" spans="1:12" ht="30" customHeight="1">
      <c r="A18" s="7"/>
      <c r="B18" s="50" t="s">
        <v>81</v>
      </c>
      <c r="C18" s="56" t="s">
        <v>12</v>
      </c>
      <c r="D18" s="50">
        <v>1</v>
      </c>
      <c r="E18" s="37">
        <v>14</v>
      </c>
      <c r="F18" s="38" t="s">
        <v>82</v>
      </c>
      <c r="G18" s="39" t="s">
        <v>83</v>
      </c>
      <c r="H18" s="51" t="s">
        <v>84</v>
      </c>
      <c r="I18" s="75" t="s">
        <v>85</v>
      </c>
      <c r="J18" s="10"/>
      <c r="K18" s="11"/>
      <c r="L18" s="11"/>
    </row>
    <row r="19" spans="1:12" ht="30" customHeight="1">
      <c r="A19" s="7"/>
      <c r="B19" s="50" t="s">
        <v>86</v>
      </c>
      <c r="C19" s="56" t="s">
        <v>12</v>
      </c>
      <c r="D19" s="50">
        <v>1</v>
      </c>
      <c r="E19" s="37">
        <v>4</v>
      </c>
      <c r="F19" s="38" t="s">
        <v>87</v>
      </c>
      <c r="G19" s="40" t="s">
        <v>88</v>
      </c>
      <c r="H19" s="51" t="s">
        <v>89</v>
      </c>
      <c r="I19" s="9" t="s">
        <v>51</v>
      </c>
      <c r="J19" s="31"/>
      <c r="K19" s="11"/>
      <c r="L19" s="11"/>
    </row>
    <row r="20" spans="1:12" ht="30" customHeight="1">
      <c r="A20" s="7"/>
      <c r="B20" s="50" t="s">
        <v>90</v>
      </c>
      <c r="C20" s="56" t="s">
        <v>12</v>
      </c>
      <c r="D20" s="50">
        <v>1</v>
      </c>
      <c r="E20" s="37">
        <v>10</v>
      </c>
      <c r="F20" s="38" t="s">
        <v>91</v>
      </c>
      <c r="G20" s="43" t="s">
        <v>92</v>
      </c>
      <c r="H20" s="51" t="s">
        <v>93</v>
      </c>
      <c r="I20" s="9" t="s">
        <v>16</v>
      </c>
      <c r="J20" s="10"/>
      <c r="K20" s="11"/>
      <c r="L20" s="11"/>
    </row>
    <row r="21" spans="1:12" ht="30" customHeight="1">
      <c r="A21" s="7"/>
      <c r="B21" s="50" t="s">
        <v>94</v>
      </c>
      <c r="C21" s="56" t="s">
        <v>12</v>
      </c>
      <c r="D21" s="50">
        <v>1</v>
      </c>
      <c r="E21" s="37">
        <v>10</v>
      </c>
      <c r="F21" s="38" t="s">
        <v>95</v>
      </c>
      <c r="G21" s="39" t="s">
        <v>96</v>
      </c>
      <c r="H21" s="51" t="s">
        <v>97</v>
      </c>
      <c r="I21" s="9" t="s">
        <v>98</v>
      </c>
      <c r="J21" s="10"/>
      <c r="K21" s="11"/>
      <c r="L21" s="11"/>
    </row>
    <row r="22" spans="1:12" ht="30" customHeight="1">
      <c r="A22" s="7"/>
      <c r="B22" s="50" t="s">
        <v>99</v>
      </c>
      <c r="C22" s="56" t="s">
        <v>12</v>
      </c>
      <c r="D22" s="50">
        <v>1</v>
      </c>
      <c r="E22" s="37">
        <v>12</v>
      </c>
      <c r="F22" s="38" t="s">
        <v>100</v>
      </c>
      <c r="G22" s="41" t="s">
        <v>101</v>
      </c>
      <c r="H22" s="51" t="s">
        <v>102</v>
      </c>
      <c r="I22" s="75" t="s">
        <v>103</v>
      </c>
      <c r="J22" s="10"/>
      <c r="K22" s="11"/>
      <c r="L22" s="11"/>
    </row>
    <row r="23" spans="1:12" ht="30" customHeight="1">
      <c r="A23" s="7"/>
      <c r="B23" s="50" t="s">
        <v>104</v>
      </c>
      <c r="C23" s="56" t="s">
        <v>12</v>
      </c>
      <c r="D23" s="50">
        <v>1</v>
      </c>
      <c r="E23" s="37">
        <v>9</v>
      </c>
      <c r="F23" s="38" t="s">
        <v>105</v>
      </c>
      <c r="G23" s="39" t="s">
        <v>106</v>
      </c>
      <c r="H23" s="51" t="s">
        <v>107</v>
      </c>
      <c r="I23" s="75" t="s">
        <v>108</v>
      </c>
      <c r="J23" s="10"/>
      <c r="K23" s="11"/>
      <c r="L23" s="11"/>
    </row>
    <row r="24" spans="1:12" ht="30" customHeight="1">
      <c r="A24" s="7"/>
      <c r="B24" s="50" t="s">
        <v>109</v>
      </c>
      <c r="C24" s="56" t="s">
        <v>12</v>
      </c>
      <c r="D24" s="50">
        <v>1</v>
      </c>
      <c r="E24" s="37">
        <v>10</v>
      </c>
      <c r="F24" s="38" t="s">
        <v>110</v>
      </c>
      <c r="G24" s="39" t="s">
        <v>111</v>
      </c>
      <c r="H24" s="51" t="s">
        <v>112</v>
      </c>
      <c r="I24" s="9" t="s">
        <v>16</v>
      </c>
      <c r="J24" s="10"/>
      <c r="K24" s="11"/>
      <c r="L24" s="11"/>
    </row>
    <row r="25" spans="1:12" ht="30" customHeight="1">
      <c r="A25" s="7"/>
      <c r="B25" s="50" t="s">
        <v>113</v>
      </c>
      <c r="C25" s="56" t="s">
        <v>12</v>
      </c>
      <c r="D25" s="50">
        <v>1</v>
      </c>
      <c r="E25" s="37">
        <v>13</v>
      </c>
      <c r="F25" s="44" t="s">
        <v>114</v>
      </c>
      <c r="G25" s="39" t="s">
        <v>115</v>
      </c>
      <c r="H25" s="51" t="s">
        <v>116</v>
      </c>
      <c r="I25" s="9" t="s">
        <v>16</v>
      </c>
      <c r="J25" s="10"/>
      <c r="K25" s="11"/>
      <c r="L25" s="10"/>
    </row>
    <row r="26" spans="1:12" ht="30" customHeight="1">
      <c r="A26" s="7"/>
      <c r="B26" s="63" t="s">
        <v>117</v>
      </c>
      <c r="C26" s="63" t="s">
        <v>12</v>
      </c>
      <c r="D26" s="63">
        <v>1</v>
      </c>
      <c r="E26" s="64">
        <v>13</v>
      </c>
      <c r="F26" s="65" t="s">
        <v>118</v>
      </c>
      <c r="G26" s="65" t="s">
        <v>119</v>
      </c>
      <c r="H26" s="5" t="s">
        <v>120</v>
      </c>
      <c r="I26" s="9" t="s">
        <v>16</v>
      </c>
      <c r="J26" s="10"/>
      <c r="K26" s="11"/>
      <c r="L26" s="11"/>
    </row>
    <row r="27" spans="1:12" ht="30" customHeight="1">
      <c r="A27" s="7"/>
      <c r="B27" s="50" t="s">
        <v>121</v>
      </c>
      <c r="C27" s="56" t="s">
        <v>12</v>
      </c>
      <c r="D27" s="50">
        <v>1</v>
      </c>
      <c r="E27" s="37">
        <v>10</v>
      </c>
      <c r="F27" s="38" t="s">
        <v>122</v>
      </c>
      <c r="G27" s="68" t="s">
        <v>123</v>
      </c>
      <c r="H27" s="51" t="s">
        <v>124</v>
      </c>
      <c r="I27" s="9" t="s">
        <v>16</v>
      </c>
      <c r="J27" s="10"/>
      <c r="K27" s="11"/>
      <c r="L27" s="10"/>
    </row>
    <row r="28" spans="1:12" ht="30" customHeight="1">
      <c r="A28" s="7"/>
      <c r="B28" s="52" t="s">
        <v>125</v>
      </c>
      <c r="C28" s="56" t="s">
        <v>12</v>
      </c>
      <c r="D28" s="52">
        <v>1</v>
      </c>
      <c r="E28" s="53">
        <v>9</v>
      </c>
      <c r="F28" s="54" t="s">
        <v>126</v>
      </c>
      <c r="G28" s="69" t="s">
        <v>127</v>
      </c>
      <c r="H28" s="55" t="s">
        <v>128</v>
      </c>
      <c r="I28" s="9" t="s">
        <v>16</v>
      </c>
      <c r="J28" s="10"/>
      <c r="K28" s="11"/>
      <c r="L28" s="10"/>
    </row>
    <row r="29" spans="1:12" ht="132.75" customHeight="1">
      <c r="A29" s="7"/>
      <c r="B29" s="2"/>
      <c r="C29" s="2"/>
      <c r="D29" s="2"/>
      <c r="E29" s="17"/>
      <c r="F29" s="1"/>
      <c r="G29" s="29"/>
      <c r="H29" s="5"/>
      <c r="I29" s="70"/>
      <c r="J29" s="71"/>
      <c r="K29" s="11"/>
      <c r="L29" s="10"/>
    </row>
    <row r="30" spans="1:12" ht="26.25">
      <c r="A30" s="8"/>
      <c r="I30" s="72"/>
      <c r="J30" s="73"/>
      <c r="K30" s="13"/>
      <c r="L30" s="12"/>
    </row>
    <row r="31" spans="1:12" ht="26.25">
      <c r="I31" s="74"/>
      <c r="J31" s="74"/>
    </row>
    <row r="32" spans="1:12" ht="26.25">
      <c r="I32" s="74"/>
      <c r="J32" s="74"/>
    </row>
    <row r="33" spans="9:10" ht="26.25">
      <c r="I33" s="74"/>
      <c r="J33" s="74"/>
    </row>
    <row r="34" spans="9:10" ht="26.25">
      <c r="I34" s="74"/>
      <c r="J34" s="74"/>
    </row>
    <row r="35" spans="9:10" ht="26.25">
      <c r="I35" s="74"/>
      <c r="J35" s="74"/>
    </row>
    <row r="36" spans="9:10" ht="26.25">
      <c r="I36" s="74"/>
      <c r="J36" s="74"/>
    </row>
    <row r="37" spans="9:10" ht="26.25">
      <c r="I37" s="74"/>
      <c r="J37" s="74"/>
    </row>
    <row r="38" spans="9:10" ht="26.25">
      <c r="I38" s="74"/>
      <c r="J38" s="74"/>
    </row>
    <row r="39" spans="9:10" ht="26.25">
      <c r="I39" s="74"/>
      <c r="J39" s="74"/>
    </row>
    <row r="40" spans="9:10" ht="26.25">
      <c r="I40" s="74"/>
      <c r="J40" s="74"/>
    </row>
    <row r="41" spans="9:10" ht="26.25">
      <c r="I41" s="74"/>
      <c r="J41" s="74"/>
    </row>
  </sheetData>
  <conditionalFormatting sqref="C27:C1048576 C1:C25">
    <cfRule type="containsText" dxfId="21" priority="6" operator="containsText" text="Research">
      <formula>NOT(ISERROR(SEARCH("Research",C1)))</formula>
    </cfRule>
    <cfRule type="containsText" dxfId="20" priority="7" operator="containsText" text="Compare">
      <formula>NOT(ISERROR(SEARCH("Compare",C1)))</formula>
    </cfRule>
    <cfRule type="containsText" dxfId="19" priority="8" operator="containsText" text="Confirmed">
      <formula>NOT(ISERROR(SEARCH("Confirmed",C1)))</formula>
    </cfRule>
    <cfRule type="containsText" dxfId="18" priority="9" operator="containsText" text="Suggested">
      <formula>NOT(ISERROR(SEARCH("Suggested",C1)))</formula>
    </cfRule>
  </conditionalFormatting>
  <conditionalFormatting sqref="C27:C29 C3:C25">
    <cfRule type="containsText" dxfId="17" priority="10" operator="containsText" text="Nope">
      <formula>NOT(ISERROR(SEARCH("Nope",C3)))</formula>
    </cfRule>
  </conditionalFormatting>
  <conditionalFormatting sqref="C26">
    <cfRule type="containsText" dxfId="16" priority="1" operator="containsText" text="Research">
      <formula>NOT(ISERROR(SEARCH("Research",C26)))</formula>
    </cfRule>
    <cfRule type="containsText" dxfId="15" priority="2" operator="containsText" text="Compare">
      <formula>NOT(ISERROR(SEARCH("Compare",C26)))</formula>
    </cfRule>
    <cfRule type="containsText" dxfId="14" priority="3" operator="containsText" text="Confirmed">
      <formula>NOT(ISERROR(SEARCH("Confirmed",C26)))</formula>
    </cfRule>
    <cfRule type="containsText" dxfId="13" priority="4" operator="containsText" text="Suggested">
      <formula>NOT(ISERROR(SEARCH("Suggested",C26)))</formula>
    </cfRule>
    <cfRule type="containsText" dxfId="12" priority="5" operator="containsText" text="Nope">
      <formula>NOT(ISERROR(SEARCH("Nope",C26)))</formula>
    </cfRule>
  </conditionalFormatting>
  <dataValidations count="2">
    <dataValidation allowBlank="1" showInputMessage="1" showErrorMessage="1" sqref="C1 E30:E1048576 D24:E29 E2:E7 D3:E22" xr:uid="{676DB519-30D0-4161-8DF4-C96DE8E57247}"/>
    <dataValidation type="list" allowBlank="1" showInputMessage="1" showErrorMessage="1" sqref="C3:C29" xr:uid="{788C7CE8-7CCA-46E8-B978-92890B144879}">
      <formula1>$L$3:$L$14</formula1>
    </dataValidation>
  </dataValidations>
  <hyperlinks>
    <hyperlink ref="H3" r:id="rId1" xr:uid="{5D428901-329F-42E2-89C3-A76EC6708A6C}"/>
    <hyperlink ref="H24" r:id="rId2" xr:uid="{9AFB7AE0-8CF0-4D13-948C-91B37F0461EE}"/>
    <hyperlink ref="H25" r:id="rId3" xr:uid="{5857D0BC-3FCA-439F-8873-89D93498029C}"/>
    <hyperlink ref="H27" r:id="rId4" xr:uid="{9F2D47B4-DC17-4B2C-B6F1-C28DC00506F9}"/>
    <hyperlink ref="H4" r:id="rId5" xr:uid="{924A2225-F834-A04C-808B-C012AC57BDCA}"/>
    <hyperlink ref="H5" r:id="rId6" xr:uid="{ACB4B87D-EB56-DA4E-A3FC-8BB3347EABE3}"/>
    <hyperlink ref="H6" r:id="rId7" xr:uid="{429A9221-04FB-4C91-99CC-543AAA89D1D0}"/>
    <hyperlink ref="H10" r:id="rId8" xr:uid="{70FCE617-B347-417E-B111-4F35763D0AD9}"/>
    <hyperlink ref="H11" r:id="rId9" xr:uid="{175BEE47-7002-464B-BF9B-CBCA40E3A36B}"/>
    <hyperlink ref="H19" r:id="rId10" xr:uid="{BCA8E1CF-1552-48BB-AD98-909D0E554186}"/>
    <hyperlink ref="H14" r:id="rId11" xr:uid="{5FCE87BA-6261-42C5-9A67-AE765B2CF174}"/>
    <hyperlink ref="H13" r:id="rId12" xr:uid="{42A12CC8-C9C1-470C-B506-EB5601536B71}"/>
    <hyperlink ref="H18" r:id="rId13" xr:uid="{828D40DC-EDEA-4CF7-8816-E735C1476D65}"/>
    <hyperlink ref="H15" r:id="rId14" xr:uid="{B64E1F29-9E81-4A51-BC82-81C5C02BCC74}"/>
    <hyperlink ref="H16" r:id="rId15" xr:uid="{5B344BFC-816E-4CFB-B63B-CE7F8F8B9865}"/>
    <hyperlink ref="H28" r:id="rId16" xr:uid="{55AF426A-86D2-C64D-8643-B3C5DA910FDD}"/>
    <hyperlink ref="H8" r:id="rId17" xr:uid="{5F72892E-91C6-264D-83C4-EFEF2E7619E3}"/>
    <hyperlink ref="H17" r:id="rId18" xr:uid="{48908849-F2B5-4F47-9268-E3A3741780AE}"/>
    <hyperlink ref="H21" r:id="rId19" xr:uid="{C72A05FE-AC82-4BE5-80EC-5AFF9AC9D39A}"/>
    <hyperlink ref="H12" r:id="rId20" xr:uid="{C5CBB1A5-44D3-451B-B927-016740D47173}"/>
    <hyperlink ref="H9" r:id="rId21" xr:uid="{8D08D6AD-976C-4FF1-8902-AC6AE84B6F4F}"/>
    <hyperlink ref="H20" r:id="rId22" xr:uid="{B26C900C-D112-4FD5-B3CD-2977D4526C19}"/>
    <hyperlink ref="H22" r:id="rId23" xr:uid="{1EA0E50C-7F24-491C-8CB9-6AEB166BFB3B}"/>
    <hyperlink ref="H26" r:id="rId24" xr:uid="{F284137B-CA7B-4C1F-8BC4-5522B9F26491}"/>
    <hyperlink ref="H7" r:id="rId25" xr:uid="{BBC18E97-91DF-45B7-9769-5D65A18D0776}"/>
    <hyperlink ref="I8" r:id="rId26" xr:uid="{46C5F1DF-A9D7-4512-B8FA-869229AAB73C}"/>
    <hyperlink ref="I18" r:id="rId27" xr:uid="{DCF74577-8186-40A8-8811-31A15BCA70CC}"/>
    <hyperlink ref="I23" r:id="rId28" display="https://www.bing.com/ck/a?!&amp;&amp;p=a075ce0cee0f8c0d8995fb437f06da6fc57aefe911153d007d6a949be0d557abJmltdHM9MTc2NzY1NzYwMA&amp;ptn=3&amp;ver=2&amp;hsh=4&amp;fclid=29b334d6-c9d5-6005-18b3-2026c87461c4&amp;psq=DAOKI+TCS-34725+TCS34725+data+sheet&amp;u=a1aHR0cHM6Ly9jZG4tc2hvcC5hZGFmcnVpdC5jb20vZGF0YXNoZWV0cy9UQ1MzNDcyNS5wZGY" xr:uid="{CA526EBA-C6C4-49BA-B118-77D14E7D368C}"/>
    <hyperlink ref="I17" r:id="rId29" xr:uid="{20EE23BC-D160-4085-81FF-87FFDFA89737}"/>
    <hyperlink ref="I22" r:id="rId30" xr:uid="{4D856A36-0573-4449-BBE6-4E0DA4976A0B}"/>
    <hyperlink ref="H23" r:id="rId31" xr:uid="{AC5F0EDA-E743-45DA-84A9-14AF4D9DDC57}"/>
  </hyperlinks>
  <pageMargins left="0.7" right="0.7" top="0.75" bottom="0.75" header="0.3" footer="0.3"/>
  <tableParts count="1">
    <tablePart r:id="rId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2025-09-10T05:22:26Z</dcterms:created>
  <dcterms:modified xsi:type="dcterms:W3CDTF">2026-01-07T03:26:47Z</dcterms:modified>
  <cp:category/>
  <cp:contentStatus/>
</cp:coreProperties>
</file>